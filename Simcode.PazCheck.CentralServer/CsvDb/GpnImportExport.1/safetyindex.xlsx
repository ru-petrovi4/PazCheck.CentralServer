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97291781-8BA5-43DF-B0F9-C3731DEBCC87}" xr6:coauthVersionLast="47" xr6:coauthVersionMax="47" xr10:uidLastSave="{00000000-0000-0000-0000-000000000000}"/>
  <bookViews>
    <workbookView xWindow="-28920" yWindow="-600" windowWidth="29040" windowHeight="15720" xr2:uid="{00000000-000D-0000-FFFF-FFFF00000000}"/>
  </bookViews>
  <sheets>
    <sheet name="Лист1" sheetId="3" r:id="rId1"/>
    <sheet name="SystemInfo" sheetId="2" r:id="rId2"/>
  </sheets>
  <definedNames>
    <definedName name="DestinationTypeDesc">SystemInfo!$A$2</definedName>
    <definedName name="DestinationTypeDetails">SystemInfo!$A$3</definedName>
    <definedName name="ReportCategory">SystemInfo!$A$1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3" l="1"/>
  <c r="E11" i="3"/>
</calcChain>
</file>

<file path=xl/sharedStrings.xml><?xml version="1.0" encoding="utf-8"?>
<sst xmlns="http://schemas.openxmlformats.org/spreadsheetml/2006/main" count="41" uniqueCount="33">
  <si>
    <t>МЛСП «Приразломная»</t>
  </si>
  <si>
    <t>№ П/П</t>
  </si>
  <si>
    <t>MonitoringWidgetsPage</t>
  </si>
  <si>
    <t>Отчет о формировании индекса безопасности</t>
  </si>
  <si>
    <t>Объект</t>
  </si>
  <si>
    <t>Описание</t>
  </si>
  <si>
    <t>K</t>
  </si>
  <si>
    <t>Вклад в итоговый индекс</t>
  </si>
  <si>
    <t>Отчет о формировании индекса безопасности объекта модуля "Мониторинг"</t>
  </si>
  <si>
    <t>Дата:</t>
  </si>
  <si>
    <t>Время</t>
  </si>
  <si>
    <t>Текущее значение  ИИБ</t>
  </si>
  <si>
    <t xml:space="preserve">Уровень: </t>
  </si>
  <si>
    <t>МЛСП</t>
  </si>
  <si>
    <t>%</t>
  </si>
  <si>
    <t>Граница предупредительной сигнализации</t>
  </si>
  <si>
    <t>L</t>
  </si>
  <si>
    <t>Граница аварийной сигнализации</t>
  </si>
  <si>
    <t>LL</t>
  </si>
  <si>
    <t xml:space="preserve">Отклонение </t>
  </si>
  <si>
    <t>Соответвует уровню:</t>
  </si>
  <si>
    <t xml:space="preserve">Группа </t>
  </si>
  <si>
    <t>Значение</t>
  </si>
  <si>
    <t>Перечень объектов мониторинга ИИБ</t>
  </si>
  <si>
    <t>{"QType": "DateTime", "Format":"d"}</t>
  </si>
  <si>
    <t>{"QType": "DateTime", "Format":"t"}</t>
  </si>
  <si>
    <t>{ "QType": "Value", "QString": "SafetyIndex_Green_Percentage" }</t>
  </si>
  <si>
    <t>{ "QType": "Value", "QString": "SafetyIndex_Yellow_Percentage" }</t>
  </si>
  <si>
    <t>{ "QType": "Value", "QString": "Data:SafetyIndex" }</t>
  </si>
  <si>
    <t>{"QType": "SafetyIndexInfo_UrgentOnlyV2"}</t>
  </si>
  <si>
    <t>{"QType": "SafetyIndexInfoV2"}</t>
  </si>
  <si>
    <t>Отчет по интегральному индексу безопасности</t>
  </si>
  <si>
    <t>Выявленные нарушения безопасности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</si>
</sst>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0" fontId="0" fillId="0" borderId="2" xfId="0" quotePrefix="1" applyBorder="1" applyAlignment="1">
      <alignment horizontal="left" vertical="top"/>
    </xf>
    <xf numFmtId="21" fontId="0" fillId="0" borderId="15" xfId="0" quotePrefix="1" applyNumberFormat="1" applyBorder="1" applyAlignment="1">
      <alignment horizontal="left" vertical="top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6" fillId="0" borderId="14" xfId="0" quotePrefix="1" applyFont="1" applyBorder="1" applyAlignment="1">
      <alignment horizontal="center" vertical="center" wrapText="1"/>
    </xf>
    <xf numFmtId="0" fontId="7" fillId="0" borderId="16" xfId="0" quotePrefix="1" applyFont="1" applyBorder="1" applyAlignment="1">
      <alignment horizontal="center" vertical="center" wrapText="1"/>
    </xf>
    <xf numFmtId="0" fontId="7" fillId="0" borderId="17" xfId="0" quotePrefix="1" applyFont="1" applyBorder="1" applyAlignment="1">
      <alignment horizontal="center" vertical="center" wrapText="1"/>
    </xf>
    <xf numFmtId="0" fontId="0" fillId="0" borderId="18" xfId="0" quotePrefix="1" applyBorder="1" applyAlignment="1">
      <alignment horizontal="left" vertical="top"/>
    </xf>
    <xf numFmtId="0" fontId="4" fillId="0" borderId="16" xfId="0" applyFont="1" applyBorder="1" applyAlignment="1">
      <alignment horizontal="center" vertical="center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92F2F"/>
        </patternFill>
      </fill>
    </dxf>
    <dxf>
      <fill>
        <patternFill>
          <bgColor rgb="FFFFF86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F867"/>
      <color rgb="FFC4D050"/>
      <color rgb="FFF9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3C10-42B1-4D28-A68E-CF49B1A538F0}">
  <dimension ref="B1:I21"/>
  <sheetViews>
    <sheetView tabSelected="1" workbookViewId="0">
      <selection activeCell="B14" sqref="B14:G14"/>
    </sheetView>
  </sheetViews>
  <sheetFormatPr defaultRowHeight="15" x14ac:dyDescent="0.25"/>
  <cols>
    <col min="2" max="2" width="49.140625" customWidth="1"/>
    <col min="3" max="3" width="44.28515625" customWidth="1"/>
    <col min="4" max="4" width="42.5703125" customWidth="1"/>
    <col min="5" max="5" width="39.7109375" customWidth="1"/>
    <col min="6" max="6" width="22.7109375" customWidth="1"/>
    <col min="7" max="7" width="26.42578125" customWidth="1"/>
    <col min="8" max="8" width="16.5703125" customWidth="1"/>
    <col min="9" max="9" width="21" customWidth="1"/>
  </cols>
  <sheetData>
    <row r="1" spans="2:9" ht="19.5" thickBot="1" x14ac:dyDescent="0.3">
      <c r="B1" s="4" t="s">
        <v>0</v>
      </c>
      <c r="C1" s="1"/>
      <c r="D1" s="2"/>
      <c r="E1" s="1"/>
      <c r="F1" s="2"/>
    </row>
    <row r="2" spans="2:9" ht="21" thickBot="1" x14ac:dyDescent="0.3">
      <c r="B2" s="25" t="s">
        <v>31</v>
      </c>
      <c r="C2" s="26"/>
      <c r="D2" s="26"/>
      <c r="E2" s="26"/>
      <c r="F2" s="27"/>
    </row>
    <row r="3" spans="2:9" ht="21" thickBot="1" x14ac:dyDescent="0.3">
      <c r="B3" s="28"/>
      <c r="C3" s="28"/>
      <c r="D3" s="28"/>
      <c r="E3" s="28"/>
      <c r="F3" s="28"/>
    </row>
    <row r="4" spans="2:9" ht="15.75" thickBot="1" x14ac:dyDescent="0.3">
      <c r="B4" s="21" t="s">
        <v>9</v>
      </c>
      <c r="C4" s="13" t="s">
        <v>24</v>
      </c>
      <c r="D4" s="1"/>
      <c r="E4" s="1"/>
      <c r="F4" s="1"/>
    </row>
    <row r="5" spans="2:9" ht="15.75" thickBot="1" x14ac:dyDescent="0.3">
      <c r="B5" s="21" t="s">
        <v>10</v>
      </c>
      <c r="C5" s="20" t="s">
        <v>25</v>
      </c>
      <c r="D5" s="1"/>
      <c r="E5" s="1"/>
      <c r="F5" s="1"/>
    </row>
    <row r="6" spans="2:9" ht="15.75" thickBot="1" x14ac:dyDescent="0.3">
      <c r="B6" s="1"/>
      <c r="C6" s="14"/>
      <c r="D6" s="1"/>
      <c r="E6" s="1"/>
      <c r="F6" s="1"/>
    </row>
    <row r="7" spans="2:9" ht="39.75" customHeight="1" thickBot="1" x14ac:dyDescent="0.3">
      <c r="B7" s="18" t="s">
        <v>11</v>
      </c>
      <c r="C7" s="18" t="s">
        <v>12</v>
      </c>
      <c r="D7" s="18" t="s">
        <v>13</v>
      </c>
      <c r="E7" s="18" t="s">
        <v>28</v>
      </c>
      <c r="F7" s="18" t="s">
        <v>14</v>
      </c>
    </row>
    <row r="8" spans="2:9" ht="58.5" customHeight="1" x14ac:dyDescent="0.25">
      <c r="B8" s="17" t="s">
        <v>15</v>
      </c>
      <c r="C8" s="5" t="s">
        <v>16</v>
      </c>
      <c r="D8" s="5"/>
      <c r="E8" s="15" t="s">
        <v>26</v>
      </c>
      <c r="F8" s="6" t="s">
        <v>14</v>
      </c>
    </row>
    <row r="9" spans="2:9" ht="30" x14ac:dyDescent="0.25">
      <c r="B9" s="11" t="s">
        <v>17</v>
      </c>
      <c r="C9" s="5" t="s">
        <v>18</v>
      </c>
      <c r="D9" s="5"/>
      <c r="E9" s="15" t="s">
        <v>27</v>
      </c>
      <c r="F9" s="6" t="s">
        <v>14</v>
      </c>
    </row>
    <row r="10" spans="2:9" ht="19.5" thickBot="1" x14ac:dyDescent="0.3">
      <c r="B10" s="11" t="s">
        <v>19</v>
      </c>
      <c r="C10" s="7"/>
      <c r="D10" s="7"/>
      <c r="E10" s="16" t="e">
        <f>E7-100</f>
        <v>#VALUE!</v>
      </c>
      <c r="F10" s="8" t="s">
        <v>14</v>
      </c>
    </row>
    <row r="11" spans="2:9" ht="19.5" thickBot="1" x14ac:dyDescent="0.3">
      <c r="B11" s="12" t="s">
        <v>20</v>
      </c>
      <c r="C11" s="10"/>
      <c r="D11" s="10"/>
      <c r="E11" s="10" t="str">
        <f>IF(E7&gt;E8,"Норма",IF(E7&gt;E9,"Предупредительный","Опасный"))</f>
        <v>Опасный</v>
      </c>
      <c r="F11" s="9"/>
    </row>
    <row r="13" spans="2:9" ht="15.75" thickBot="1" x14ac:dyDescent="0.3"/>
    <row r="14" spans="2:9" ht="19.5" customHeight="1" thickBot="1" x14ac:dyDescent="0.3">
      <c r="B14" s="29" t="s">
        <v>32</v>
      </c>
      <c r="C14" s="30"/>
      <c r="D14" s="30"/>
      <c r="E14" s="30"/>
      <c r="F14" s="30"/>
      <c r="G14" s="31"/>
    </row>
    <row r="15" spans="2:9" ht="38.25" thickBot="1" x14ac:dyDescent="0.3">
      <c r="B15" s="19" t="s">
        <v>1</v>
      </c>
      <c r="C15" s="19" t="s">
        <v>4</v>
      </c>
      <c r="D15" s="19" t="s">
        <v>5</v>
      </c>
      <c r="E15" s="19" t="s">
        <v>21</v>
      </c>
      <c r="F15" s="19" t="s">
        <v>6</v>
      </c>
      <c r="G15" s="19" t="s">
        <v>7</v>
      </c>
    </row>
    <row r="16" spans="2:9" s="23" customFormat="1" x14ac:dyDescent="0.25">
      <c r="B16" s="22" t="s">
        <v>29</v>
      </c>
      <c r="C16" s="24"/>
      <c r="D16" s="24"/>
      <c r="E16" s="24"/>
      <c r="F16" s="24"/>
      <c r="G16" s="24"/>
      <c r="H16" s="24"/>
      <c r="I16" s="24"/>
    </row>
    <row r="18" spans="2:9" ht="15.75" thickBot="1" x14ac:dyDescent="0.3"/>
    <row r="19" spans="2:9" ht="19.5" customHeight="1" thickBot="1" x14ac:dyDescent="0.3">
      <c r="B19" s="29" t="s">
        <v>23</v>
      </c>
      <c r="C19" s="30"/>
      <c r="D19" s="30"/>
      <c r="E19" s="30"/>
      <c r="F19" s="30"/>
      <c r="G19" s="31"/>
    </row>
    <row r="20" spans="2:9" ht="19.5" thickBot="1" x14ac:dyDescent="0.3">
      <c r="B20" s="18" t="s">
        <v>1</v>
      </c>
      <c r="C20" s="18" t="s">
        <v>4</v>
      </c>
      <c r="D20" s="18" t="s">
        <v>5</v>
      </c>
      <c r="E20" s="18" t="s">
        <v>21</v>
      </c>
      <c r="F20" s="18" t="s">
        <v>6</v>
      </c>
      <c r="G20" s="18" t="s">
        <v>22</v>
      </c>
    </row>
    <row r="21" spans="2:9" s="23" customFormat="1" x14ac:dyDescent="0.25">
      <c r="B21" s="22" t="s">
        <v>30</v>
      </c>
      <c r="C21" s="24"/>
      <c r="D21" s="24"/>
      <c r="E21" s="24"/>
      <c r="F21" s="24"/>
      <c r="G21" s="24"/>
      <c r="H21" s="24"/>
      <c r="I21" s="24"/>
    </row>
  </sheetData>
  <mergeCells count="4">
    <mergeCell ref="B2:F2"/>
    <mergeCell ref="B3:F3"/>
    <mergeCell ref="B14:G14"/>
    <mergeCell ref="B19:G19"/>
  </mergeCells>
  <conditionalFormatting sqref="E11">
    <cfRule type="cellIs" dxfId="2" priority="1" operator="equal">
      <formula>"Норма"</formula>
    </cfRule>
    <cfRule type="cellIs" dxfId="1" priority="2" operator="equal">
      <formula>"Предупредительный"</formula>
    </cfRule>
    <cfRule type="cellIs" dxfId="0" priority="3" operator="equal">
      <formula>"Опасный"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9AD-29B4-4FD2-9585-2A48DFDD4D56}">
  <dimension ref="A1:A3"/>
  <sheetViews>
    <sheetView workbookViewId="0"/>
  </sheetViews>
  <sheetFormatPr defaultRowHeight="15" x14ac:dyDescent="0.25"/>
  <cols>
    <col min="1" max="1" width="51.28515625" style="3" customWidth="1"/>
  </cols>
  <sheetData>
    <row r="1" spans="1:1" x14ac:dyDescent="0.25">
      <c r="A1" s="3" t="s">
        <v>2</v>
      </c>
    </row>
    <row r="2" spans="1:1" x14ac:dyDescent="0.25">
      <c r="A2" s="3" t="s">
        <v>3</v>
      </c>
    </row>
    <row r="3" spans="1:1" ht="30" x14ac:dyDescent="0.25">
      <c r="A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Лист1</vt:lpstr>
      <vt:lpstr>SystemInfo</vt:lpstr>
      <vt:lpstr>DestinationTypeDesc</vt:lpstr>
      <vt:lpstr>DestinationTypeDetails</vt:lpstr>
      <vt:lpstr>ReportCategory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Pogorelov</dc:creator>
  <cp:lastModifiedBy>Valery Pogorelov</cp:lastModifiedBy>
  <dcterms:created xsi:type="dcterms:W3CDTF">2015-06-05T18:19:34Z</dcterms:created>
  <dcterms:modified xsi:type="dcterms:W3CDTF">2026-02-19T11:03:20Z</dcterms:modified>
</cp:coreProperties>
</file>